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088DDC9B-6D15-4C49-B2B1-9E34972C5CA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A INVEST" sheetId="1" r:id="rId1"/>
    <sheet name="Tabela de Apoio" sheetId="2" r:id="rId2"/>
  </sheets>
  <definedNames>
    <definedName name="aporte">'FA INVEST'!$E$12:$E$12</definedName>
    <definedName name="invest">'FA INVEST'!$E$12:$E$12</definedName>
    <definedName name="patrimonio">'FA INVEST'!$E$15:$E$15</definedName>
    <definedName name="rendimento_carteira">'FA INVEST'!$E$8:$E$8</definedName>
    <definedName name="rendimento_invest">'FA INVEST'!$E$14:$E$14</definedName>
    <definedName name="salario">'FA INVEST'!$E$7:$E$7</definedName>
    <definedName name="sugestao_invest">'FA INVEST'!$E$9:$E$9</definedName>
    <definedName name="tempo_anos">'FA INVEST'!$E$13:$E$13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 a="1"/>
  <c r="E15" i="1"/>
  <c r="E9" i="1" a="1"/>
  <c r="E9" i="1"/>
  <c r="I6" i="2" a="1"/>
  <c r="I6" i="2"/>
  <c r="I7" i="2" a="1"/>
  <c r="I7" i="2"/>
  <c r="I8" i="2" a="1"/>
  <c r="I8" i="2"/>
  <c r="I9" i="2" a="1"/>
  <c r="I9" i="2"/>
  <c r="I10" i="2" a="1"/>
  <c r="I10" i="2"/>
  <c r="I11" i="2" a="1"/>
  <c r="I11" i="2"/>
  <c r="I12" i="2" a="1"/>
  <c r="I12" i="2"/>
  <c r="I13" i="2" a="1"/>
  <c r="I13" i="2"/>
  <c r="I14" i="2" a="1"/>
  <c r="I14" i="2"/>
  <c r="I15" i="2" a="1"/>
  <c r="I15" i="2"/>
  <c r="I16" i="2" a="1"/>
  <c r="I16" i="2"/>
  <c r="I17" i="2" a="1"/>
  <c r="I17" i="2"/>
  <c r="I18" i="2" a="1"/>
  <c r="I18" i="2"/>
  <c r="I19" i="2" a="1"/>
  <c r="I19" i="2"/>
  <c r="I20" i="2" a="1"/>
  <c r="I20" i="2"/>
  <c r="I21" i="2" a="1"/>
  <c r="I21" i="2"/>
  <c r="I22" i="2" a="1"/>
  <c r="I22" i="2"/>
  <c r="I23" i="2" a="1"/>
  <c r="I23" i="2"/>
  <c r="I24" i="2" a="1"/>
  <c r="I24" i="2"/>
  <c r="I25" i="2" a="1"/>
  <c r="I25" i="2"/>
  <c r="I26" i="2" a="1"/>
  <c r="I26" i="2"/>
  <c r="I27" i="2" a="1"/>
  <c r="I27" i="2"/>
  <c r="I28" i="2" a="1"/>
  <c r="I28" i="2"/>
  <c r="I29" i="2" a="1"/>
  <c r="I29" i="2"/>
  <c r="I30" i="2" a="1"/>
  <c r="I30" i="2"/>
  <c r="I31" i="2" a="1"/>
  <c r="I31" i="2"/>
  <c r="I32" i="2" a="1"/>
  <c r="I32" i="2"/>
  <c r="I33" i="2" a="1"/>
  <c r="I33" i="2"/>
  <c r="I34" i="2" a="1"/>
  <c r="I34" i="2"/>
  <c r="I5" i="2" a="1"/>
  <c r="I5" i="2"/>
  <c r="E31" i="1" a="1"/>
  <c r="E31" i="1"/>
  <c r="D35" i="1"/>
  <c r="E35" i="1" s="1" a="1"/>
  <c r="E35" i="1" s="1"/>
  <c r="D36" i="1"/>
  <c r="E36" i="1" s="1" a="1"/>
  <c r="E36" i="1" s="1"/>
  <c r="D37" i="1"/>
  <c r="E37" i="1" s="1" a="1"/>
  <c r="E37" i="1" s="1"/>
  <c r="D38" i="1"/>
  <c r="E38" i="1" s="1" a="1"/>
  <c r="E38" i="1" s="1"/>
  <c r="D39" i="1"/>
  <c r="E39" i="1" s="1" a="1"/>
  <c r="E39" i="1" s="1"/>
  <c r="D34" i="1"/>
  <c r="E34" i="1" s="1" a="1"/>
  <c r="E34" i="1" s="1"/>
  <c r="D21" i="1"/>
  <c r="E21" i="1" s="1" a="1"/>
  <c r="E21" i="1" s="1"/>
  <c r="D22" i="1"/>
  <c r="E22" i="1" s="1" a="1"/>
  <c r="E22" i="1" s="1"/>
  <c r="D23" i="1"/>
  <c r="E23" i="1" s="1" a="1"/>
  <c r="E23" i="1" s="1"/>
  <c r="D24" i="1"/>
  <c r="E24" i="1" s="1" a="1"/>
  <c r="E24" i="1" s="1"/>
  <c r="D20" i="1"/>
  <c r="E20" i="1" s="1" a="1"/>
  <c r="E20" i="1" s="1"/>
  <c r="E16" i="1"/>
  <c r="J6" i="2" l="1" a="1"/>
  <c r="J6" i="2" s="1"/>
  <c r="J7" i="2" a="1"/>
  <c r="J7" i="2" s="1"/>
  <c r="J8" i="2" a="1"/>
  <c r="J8" i="2" s="1"/>
  <c r="J9" i="2" a="1"/>
  <c r="J9" i="2" s="1"/>
  <c r="J10" i="2" a="1"/>
  <c r="J10" i="2" s="1"/>
  <c r="J11" i="2" a="1"/>
  <c r="J11" i="2" s="1"/>
  <c r="J12" i="2" a="1"/>
  <c r="J12" i="2" s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J18" i="2" a="1"/>
  <c r="J18" i="2" s="1"/>
  <c r="J19" i="2" a="1"/>
  <c r="J19" i="2" s="1"/>
  <c r="J20" i="2" a="1"/>
  <c r="J20" i="2" s="1"/>
  <c r="J21" i="2" a="1"/>
  <c r="J21" i="2" s="1"/>
  <c r="J22" i="2" a="1"/>
  <c r="J22" i="2" s="1"/>
  <c r="J23" i="2" a="1"/>
  <c r="J23" i="2" s="1"/>
  <c r="J24" i="2" a="1"/>
  <c r="J24" i="2" s="1"/>
  <c r="J25" i="2" a="1"/>
  <c r="J25" i="2" s="1"/>
  <c r="J26" i="2" a="1"/>
  <c r="J26" i="2" s="1"/>
  <c r="J27" i="2" a="1"/>
  <c r="J27" i="2" s="1"/>
  <c r="J28" i="2" a="1"/>
  <c r="J28" i="2" s="1"/>
  <c r="J29" i="2" a="1"/>
  <c r="J29" i="2" s="1"/>
  <c r="J30" i="2" a="1"/>
  <c r="J30" i="2" s="1"/>
  <c r="J31" i="2" a="1"/>
  <c r="J31" i="2" s="1"/>
  <c r="J32" i="2" a="1"/>
  <c r="J32" i="2" s="1"/>
  <c r="J33" i="2" a="1"/>
  <c r="J33" i="2" s="1"/>
  <c r="J34" i="2" a="1"/>
  <c r="J34" i="2" s="1"/>
  <c r="J5" i="2" a="1"/>
  <c r="J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<sst xmlns="http://schemas.openxmlformats.org/spreadsheetml/2006/main" count="92" uniqueCount="55">
  <si>
    <t>FA INVEST</t>
  </si>
  <si>
    <t>Configurações</t>
  </si>
  <si>
    <t>Salário</t>
  </si>
  <si>
    <t>Redimento carteira</t>
  </si>
  <si>
    <t>Sugestão de investimento</t>
  </si>
  <si>
    <t>Investimento mensal</t>
  </si>
  <si>
    <t>Quanto investir por mês?</t>
  </si>
  <si>
    <t>Por quantos anos?</t>
  </si>
  <si>
    <t>Taxa de Rendimento mensal?</t>
  </si>
  <si>
    <t>Patrimonio acumulado?</t>
  </si>
  <si>
    <t>Dividendos mensais?</t>
  </si>
  <si>
    <t>Cenários</t>
  </si>
  <si>
    <t>Dividendos</t>
  </si>
  <si>
    <t>Investimento caso 2 anos</t>
  </si>
  <si>
    <t>Investimento caso 5 anos</t>
  </si>
  <si>
    <t>Investimento caso 10 anos</t>
  </si>
  <si>
    <t>Investimento caso 20 anos</t>
  </si>
  <si>
    <t>Investimento caso 30 anos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</si>
  <si>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</si>
  <si>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</si>
  <si>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</si>
  <si>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</si>
  <si>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</si>
  <si>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</si>
  <si>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</si>
  <si>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</si>
  <si>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</si>
  <si>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</si>
  <si>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</si>
  <si>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</si>
  <si>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</si>
  <si>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</si>
  <si>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Cressimento de investimento ao longo de 30 anos do valor investido</t>
  </si>
  <si>
    <t>Conservador-PAPEL</t>
  </si>
  <si>
    <t>Conservador</t>
  </si>
  <si>
    <t>Quatidade messes</t>
  </si>
  <si>
    <t>Valor estimado</t>
  </si>
  <si>
    <t>Conservador-TIJOLO</t>
  </si>
  <si>
    <t>Conservador-HÍBRIDOS</t>
  </si>
  <si>
    <t>Conservador-FOFs</t>
  </si>
  <si>
    <t>Conservador-DESENVOLVIMENTO</t>
  </si>
  <si>
    <t>Conservador-HOTELARIAS</t>
  </si>
  <si>
    <t>Moderado-PAPEL</t>
  </si>
  <si>
    <t>Moderado-TIJOLO</t>
  </si>
  <si>
    <t>Moderado-HÍBRIDOS</t>
  </si>
  <si>
    <t>Moderado-FOFs</t>
  </si>
  <si>
    <t>Moderado-DESENVOLVIMENTO</t>
  </si>
  <si>
    <t>Moderado-HOTELARIAS</t>
  </si>
  <si>
    <t>Agressivo-PAPEL</t>
  </si>
  <si>
    <t>Agressivo</t>
  </si>
  <si>
    <t>Agressivo-TIJOLO</t>
  </si>
  <si>
    <t>Agressivo-HÍBRIDOS</t>
  </si>
  <si>
    <t>Agressivo-FOFs</t>
  </si>
  <si>
    <t>Agressivo-DESENVOLVIMENTO</t>
  </si>
  <si>
    <t>Agressivo-HOTELARIAS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</si>
</sst>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2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36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8"/>
      <color theme="0"/>
      <name val="Aptos Narrow"/>
      <family val="2"/>
      <scheme val="minor"/>
    </font>
    <font>
      <sz val="10"/>
      <color theme="1"/>
      <name val="Aptos Narrow"/>
      <charset val="1"/>
    </font>
    <font>
      <b/>
      <sz val="10"/>
      <color rgb="FF000000"/>
      <name val="Aptos Narrow"/>
      <charset val="1"/>
    </font>
    <font>
      <sz val="10"/>
      <color rgb="FF000000"/>
      <name val="Aptos Narrow"/>
      <charset val="1"/>
    </font>
    <font>
      <sz val="10"/>
      <color rgb="FFFFFFFF"/>
      <name val="Aptos Narrow"/>
      <charset val="1"/>
    </font>
    <font>
      <sz val="72"/>
      <color theme="1"/>
      <name val="Bookman Old Style"/>
    </font>
    <font>
      <u/>
      <sz val="11"/>
      <color theme="1"/>
      <name val="Aptos Narrow"/>
      <family val="2"/>
      <scheme val="minor"/>
    </font>
    <font>
      <b/>
      <sz val="10"/>
      <color theme="0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EAEA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4" xfId="0" applyBorder="1"/>
    <xf numFmtId="0" fontId="0" fillId="3" borderId="4" xfId="0" applyFill="1" applyBorder="1"/>
    <xf numFmtId="0" fontId="0" fillId="3" borderId="6" xfId="0" applyFill="1" applyBorder="1"/>
    <xf numFmtId="1" fontId="0" fillId="0" borderId="5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8" fontId="0" fillId="3" borderId="5" xfId="0" applyNumberFormat="1" applyFill="1" applyBorder="1" applyAlignment="1">
      <alignment horizontal="left"/>
    </xf>
    <xf numFmtId="8" fontId="0" fillId="3" borderId="7" xfId="0" applyNumberFormat="1" applyFill="1" applyBorder="1" applyAlignment="1">
      <alignment horizontal="left"/>
    </xf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wrapText="1"/>
    </xf>
    <xf numFmtId="0" fontId="5" fillId="0" borderId="0" xfId="0" applyFont="1"/>
    <xf numFmtId="0" fontId="8" fillId="6" borderId="2" xfId="0" applyFont="1" applyFill="1" applyBorder="1"/>
    <xf numFmtId="0" fontId="8" fillId="6" borderId="9" xfId="0" applyFont="1" applyFill="1" applyBorder="1"/>
    <xf numFmtId="0" fontId="8" fillId="6" borderId="3" xfId="0" applyFont="1" applyFill="1" applyBorder="1"/>
    <xf numFmtId="0" fontId="7" fillId="0" borderId="4" xfId="0" applyFont="1" applyBorder="1"/>
    <xf numFmtId="0" fontId="7" fillId="0" borderId="1" xfId="0" applyFont="1" applyBorder="1"/>
    <xf numFmtId="9" fontId="7" fillId="0" borderId="5" xfId="0" applyNumberFormat="1" applyFont="1" applyBorder="1"/>
    <xf numFmtId="0" fontId="7" fillId="0" borderId="6" xfId="0" applyFont="1" applyBorder="1"/>
    <xf numFmtId="0" fontId="7" fillId="0" borderId="8" xfId="0" applyFont="1" applyBorder="1"/>
    <xf numFmtId="9" fontId="7" fillId="0" borderId="7" xfId="0" applyNumberFormat="1" applyFont="1" applyBorder="1"/>
    <xf numFmtId="0" fontId="7" fillId="7" borderId="4" xfId="0" applyFont="1" applyFill="1" applyBorder="1"/>
    <xf numFmtId="0" fontId="7" fillId="7" borderId="1" xfId="0" applyFont="1" applyFill="1" applyBorder="1"/>
    <xf numFmtId="9" fontId="7" fillId="7" borderId="5" xfId="0" applyNumberFormat="1" applyFont="1" applyFill="1" applyBorder="1"/>
    <xf numFmtId="164" fontId="0" fillId="0" borderId="5" xfId="0" applyNumberFormat="1" applyBorder="1" applyAlignment="1">
      <alignment horizontal="left"/>
    </xf>
    <xf numFmtId="0" fontId="5" fillId="5" borderId="6" xfId="0" applyFont="1" applyFill="1" applyBorder="1"/>
    <xf numFmtId="0" fontId="5" fillId="5" borderId="8" xfId="0" applyFont="1" applyFill="1" applyBorder="1"/>
    <xf numFmtId="0" fontId="6" fillId="5" borderId="7" xfId="0" applyFont="1" applyFill="1" applyBorder="1"/>
    <xf numFmtId="0" fontId="4" fillId="2" borderId="9" xfId="0" applyFont="1" applyFill="1" applyBorder="1" applyAlignment="1">
      <alignment horizontal="center"/>
    </xf>
    <xf numFmtId="164" fontId="0" fillId="3" borderId="7" xfId="0" applyNumberFormat="1" applyFill="1" applyBorder="1" applyAlignment="1">
      <alignment horizontal="left"/>
    </xf>
    <xf numFmtId="8" fontId="0" fillId="3" borderId="1" xfId="0" applyNumberFormat="1" applyFill="1" applyBorder="1" applyAlignment="1">
      <alignment horizontal="left"/>
    </xf>
    <xf numFmtId="8" fontId="0" fillId="3" borderId="8" xfId="0" applyNumberFormat="1" applyFill="1" applyBorder="1" applyAlignment="1">
      <alignment horizontal="left"/>
    </xf>
    <xf numFmtId="0" fontId="7" fillId="3" borderId="4" xfId="0" applyFont="1" applyFill="1" applyBorder="1"/>
    <xf numFmtId="9" fontId="7" fillId="3" borderId="1" xfId="0" applyNumberFormat="1" applyFont="1" applyFill="1" applyBorder="1" applyAlignment="1">
      <alignment horizontal="center"/>
    </xf>
    <xf numFmtId="164" fontId="0" fillId="3" borderId="5" xfId="0" applyNumberFormat="1" applyFill="1" applyBorder="1" applyAlignment="1">
      <alignment horizontal="left"/>
    </xf>
    <xf numFmtId="8" fontId="10" fillId="3" borderId="5" xfId="0" applyNumberFormat="1" applyFont="1" applyFill="1" applyBorder="1" applyAlignment="1">
      <alignment horizontal="left"/>
    </xf>
    <xf numFmtId="0" fontId="10" fillId="0" borderId="0" xfId="0" applyFont="1"/>
    <xf numFmtId="0" fontId="0" fillId="0" borderId="2" xfId="0" applyBorder="1"/>
    <xf numFmtId="8" fontId="0" fillId="0" borderId="5" xfId="0" applyNumberFormat="1" applyBorder="1"/>
    <xf numFmtId="0" fontId="0" fillId="0" borderId="6" xfId="0" applyBorder="1"/>
    <xf numFmtId="8" fontId="0" fillId="0" borderId="7" xfId="0" applyNumberFormat="1" applyBorder="1"/>
    <xf numFmtId="0" fontId="0" fillId="0" borderId="10" xfId="0" applyBorder="1"/>
    <xf numFmtId="8" fontId="0" fillId="0" borderId="11" xfId="0" applyNumberFormat="1" applyBorder="1"/>
    <xf numFmtId="10" fontId="0" fillId="0" borderId="5" xfId="0" applyNumberFormat="1" applyBorder="1" applyAlignment="1">
      <alignment horizontal="left"/>
    </xf>
    <xf numFmtId="164" fontId="6" fillId="4" borderId="7" xfId="0" applyNumberFormat="1" applyFont="1" applyFill="1" applyBorder="1"/>
    <xf numFmtId="8" fontId="0" fillId="0" borderId="3" xfId="0" applyNumberFormat="1" applyBorder="1"/>
    <xf numFmtId="0" fontId="3" fillId="2" borderId="14" xfId="0" applyFont="1" applyFill="1" applyBorder="1"/>
    <xf numFmtId="0" fontId="3" fillId="2" borderId="15" xfId="0" applyFont="1" applyFill="1" applyBorder="1"/>
    <xf numFmtId="0" fontId="11" fillId="2" borderId="2" xfId="0" applyFont="1" applyFill="1" applyBorder="1"/>
    <xf numFmtId="0" fontId="11" fillId="2" borderId="9" xfId="0" applyFont="1" applyFill="1" applyBorder="1"/>
    <xf numFmtId="0" fontId="11" fillId="2" borderId="3" xfId="0" applyFont="1" applyFill="1" applyBorder="1"/>
    <xf numFmtId="0" fontId="6" fillId="4" borderId="6" xfId="0" applyFont="1" applyFill="1" applyBorder="1" applyAlignment="1">
      <alignment horizontal="left"/>
    </xf>
    <xf numFmtId="0" fontId="6" fillId="4" borderId="8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9" fillId="8" borderId="0" xfId="0" applyFont="1" applyFill="1" applyAlignment="1">
      <alignment horizontal="center" vertical="top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left" vertical="center"/>
    </xf>
    <xf numFmtId="0" fontId="1" fillId="8" borderId="9" xfId="0" applyFont="1" applyFill="1" applyBorder="1" applyAlignment="1">
      <alignment horizontal="left" vertical="center"/>
    </xf>
    <xf numFmtId="0" fontId="1" fillId="8" borderId="3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/>
    </xf>
    <xf numFmtId="0" fontId="7" fillId="8" borderId="9" xfId="0" applyFont="1" applyFill="1" applyBorder="1" applyAlignment="1">
      <alignment horizontal="left"/>
    </xf>
    <xf numFmtId="0" fontId="7" fillId="8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Patrimônio acumulado em anos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{"Valor investido"}</c:f>
              <c:strCache>
                <c:ptCount val="1"/>
                <c:pt idx="0">
                  <c:v>Valor investido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val>
            <c:numRef>
              <c:f>'Tabela de Apoio'!$I$5:$I$34</c:f>
              <c:numCache>
                <c:formatCode>"R$"#,##0.00_);[Red]\("R$"#,##0.00\)</c:formatCode>
                <c:ptCount val="30"/>
                <c:pt idx="0">
                  <c:v>2536.5006026393953</c:v>
                </c:pt>
                <c:pt idx="1">
                  <c:v>5394.6929706382998</c:v>
                </c:pt>
                <c:pt idx="2">
                  <c:v>8615.3756718316199</c:v>
                </c:pt>
                <c:pt idx="3">
                  <c:v>12244.521553649305</c:v>
                </c:pt>
                <c:pt idx="4">
                  <c:v>16333.933971281826</c:v>
                </c:pt>
                <c:pt idx="5">
                  <c:v>20941.986242002655</c:v>
                </c:pt>
                <c:pt idx="6">
                  <c:v>26134.454880807334</c:v>
                </c:pt>
                <c:pt idx="7">
                  <c:v>31985.458511187728</c:v>
                </c:pt>
                <c:pt idx="8">
                  <c:v>38578.515853293378</c:v>
                </c:pt>
                <c:pt idx="9">
                  <c:v>46007.7378914734</c:v>
                </c:pt>
                <c:pt idx="10">
                  <c:v>54379.171238502669</c:v>
                </c:pt>
                <c:pt idx="11">
                  <c:v>63812.311872016719</c:v>
                </c:pt>
                <c:pt idx="12">
                  <c:v>74441.810850615278</c:v>
                </c:pt>
                <c:pt idx="13">
                  <c:v>86419.396357462378</c:v>
                </c:pt>
                <c:pt idx="14">
                  <c:v>99916.039507123598</c:v>
                </c:pt>
                <c:pt idx="15">
                  <c:v>115124.39483092102</c:v>
                </c:pt>
                <c:pt idx="16">
                  <c:v>132261.55027691677</c:v>
                </c:pt>
                <c:pt idx="17">
                  <c:v>151572.12597872721</c:v>
                </c:pt>
                <c:pt idx="18">
                  <c:v>173331.76602578539</c:v>
                </c:pt>
                <c:pt idx="19">
                  <c:v>197851.0730774726</c:v>
                </c:pt>
                <c:pt idx="20">
                  <c:v>225480.04198480502</c:v>
                </c:pt>
                <c:pt idx="21">
                  <c:v>256613.05570632516</c:v>
                </c:pt>
                <c:pt idx="22">
                  <c:v>291694.51483117609</c:v>
                </c:pt>
                <c:pt idx="23">
                  <c:v>331225.1810666098</c:v>
                </c:pt>
                <c:pt idx="24">
                  <c:v>375769.32523848908</c:v>
                </c:pt>
                <c:pt idx="25">
                  <c:v>425962.78183716995</c:v>
                </c:pt>
                <c:pt idx="26">
                  <c:v>482522.02508140606</c:v>
                </c:pt>
                <c:pt idx="27">
                  <c:v>546254.39605433389</c:v>
                </c:pt>
                <c:pt idx="28">
                  <c:v>618069.6268962851</c:v>
                </c:pt>
                <c:pt idx="29">
                  <c:v>698992.82655370131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30-468C-AE9B-1B6421A8333A}"/>
            </c:ext>
          </c:extLst>
        </c:ser>
        <c:ser>
          <c:idx val="2"/>
          <c:order val="1"/>
          <c:tx>
            <c:strRef>
              <c:f>{"Valor recomendado"}</c:f>
              <c:strCache>
                <c:ptCount val="1"/>
                <c:pt idx="0">
                  <c:v>Valor recomendado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val>
            <c:numRef>
              <c:f>'Tabela de Apoio'!$J$5:$J$34</c:f>
              <c:numCache>
                <c:formatCode>"R$"#,##0.00_);[Red]\("R$"#,##0.00\)</c:formatCode>
                <c:ptCount val="30"/>
                <c:pt idx="0">
                  <c:v>3804.7509039590927</c:v>
                </c:pt>
                <c:pt idx="1">
                  <c:v>8092.0394559574497</c:v>
                </c:pt>
                <c:pt idx="2">
                  <c:v>12923.063507747431</c:v>
                </c:pt>
                <c:pt idx="3">
                  <c:v>18366.782330473958</c:v>
                </c:pt>
                <c:pt idx="4">
                  <c:v>24500.900956922738</c:v>
                </c:pt>
                <c:pt idx="5">
                  <c:v>31412.979363003979</c:v>
                </c:pt>
                <c:pt idx="6">
                  <c:v>39201.682321211003</c:v>
                </c:pt>
                <c:pt idx="7">
                  <c:v>47978.187766781593</c:v>
                </c:pt>
                <c:pt idx="8">
                  <c:v>57867.773779940071</c:v>
                </c:pt>
                <c:pt idx="9">
                  <c:v>69011.6068372101</c:v>
                </c:pt>
                <c:pt idx="10">
                  <c:v>81568.756857754008</c:v>
                </c:pt>
                <c:pt idx="11">
                  <c:v>95718.467808025089</c:v>
                </c:pt>
                <c:pt idx="12">
                  <c:v>111662.71627592291</c:v>
                </c:pt>
                <c:pt idx="13">
                  <c:v>129629.09453619357</c:v>
                </c:pt>
                <c:pt idx="14">
                  <c:v>149874.0592606854</c:v>
                </c:pt>
                <c:pt idx="15">
                  <c:v>172686.59224638154</c:v>
                </c:pt>
                <c:pt idx="16">
                  <c:v>198392.32541537515</c:v>
                </c:pt>
                <c:pt idx="17">
                  <c:v>227358.18896809084</c:v>
                </c:pt>
                <c:pt idx="18">
                  <c:v>259997.64903867809</c:v>
                </c:pt>
                <c:pt idx="19">
                  <c:v>296776.60961620888</c:v>
                </c:pt>
                <c:pt idx="20">
                  <c:v>338220.06297720753</c:v>
                </c:pt>
                <c:pt idx="21">
                  <c:v>384919.58355948777</c:v>
                </c:pt>
                <c:pt idx="22">
                  <c:v>437541.77224676416</c:v>
                </c:pt>
                <c:pt idx="23">
                  <c:v>496837.77159991465</c:v>
                </c:pt>
                <c:pt idx="24">
                  <c:v>563653.98785773362</c:v>
                </c:pt>
                <c:pt idx="25">
                  <c:v>638944.1727557549</c:v>
                </c:pt>
                <c:pt idx="26">
                  <c:v>723783.03762210917</c:v>
                </c:pt>
                <c:pt idx="27">
                  <c:v>819381.59408150089</c:v>
                </c:pt>
                <c:pt idx="28">
                  <c:v>927104.4403444276</c:v>
                </c:pt>
                <c:pt idx="29">
                  <c:v>1048489.2398305519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930-468C-AE9B-1B6421A83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124616"/>
        <c:axId val="1225521672"/>
      </c:lineChart>
      <c:catAx>
        <c:axId val="981124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521672"/>
        <c:crosses val="autoZero"/>
        <c:auto val="1"/>
        <c:lblAlgn val="ctr"/>
        <c:lblOffset val="100"/>
        <c:noMultiLvlLbl val="0"/>
      </c:catAx>
      <c:valAx>
        <c:axId val="1225521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24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AF2D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Recomendação de investimentos</a:t>
            </a:r>
          </a:p>
        </c:rich>
      </c:tx>
      <c:overlay val="0"/>
      <c:spPr>
        <a:solidFill>
          <a:srgbClr val="DAF2D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'FA INVEST'!$C$34:$C$39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'FA INVEST'!$D$34:$D$39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C-442B-9BF0-291F3A9F55C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'FA INVEST'!$C$34:$C$39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'FA INVEST'!$E$34:$E$39</c:f>
              <c:numCache>
                <c:formatCode>"R$"\ #,##0.00</c:formatCode>
                <c:ptCount val="6"/>
                <c:pt idx="0">
                  <c:v>64</c:v>
                </c:pt>
                <c:pt idx="1">
                  <c:v>70</c:v>
                </c:pt>
                <c:pt idx="2">
                  <c:v>16</c:v>
                </c:pt>
                <c:pt idx="3">
                  <c:v>10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8C-442B-9BF0-291F3A9F5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AF2D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971550</xdr:colOff>
      <xdr:row>5</xdr:row>
      <xdr:rowOff>0</xdr:rowOff>
    </xdr:from>
    <xdr:to>
      <xdr:col>16</xdr:col>
      <xdr:colOff>523875</xdr:colOff>
      <xdr:row>24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150D8A-11DE-28A8-991E-5DED29D64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971550</xdr:colOff>
      <xdr:row>24</xdr:row>
      <xdr:rowOff>28575</xdr:rowOff>
    </xdr:from>
    <xdr:to>
      <xdr:col>16</xdr:col>
      <xdr:colOff>533400</xdr:colOff>
      <xdr:row>42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9151F8-694B-A5B5-26B5-E095006F6B80}"/>
            </a:ext>
            <a:ext uri="{147F2762-F138-4A5C-976F-8EAC2B608ADB}">
              <a16:predDERef xmlns:a16="http://schemas.microsoft.com/office/drawing/2014/main" pred="{61150D8A-11DE-28A8-991E-5DED29D64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showGridLines="0" tabSelected="1" workbookViewId="0">
      <selection activeCell="E30" sqref="E30"/>
    </sheetView>
  </sheetViews>
  <sheetFormatPr defaultColWidth="0" defaultRowHeight="15" zeroHeight="1"/>
  <cols>
    <col min="1" max="2" width="9.140625" customWidth="1"/>
    <col min="3" max="3" width="59.7109375" bestFit="1" customWidth="1"/>
    <col min="4" max="4" width="16.85546875" bestFit="1" customWidth="1"/>
    <col min="5" max="5" width="27.7109375" customWidth="1"/>
    <col min="6" max="6" width="21.28515625" bestFit="1" customWidth="1"/>
    <col min="7" max="7" width="11.42578125" bestFit="1" customWidth="1"/>
    <col min="8" max="19" width="9.140625" customWidth="1"/>
  </cols>
  <sheetData>
    <row r="1" spans="1:19" ht="102.75" customHeight="1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19">
      <c r="L2" s="36"/>
    </row>
    <row r="3" spans="1:19"/>
    <row r="4" spans="1:19"/>
    <row r="5" spans="1:19"/>
    <row r="6" spans="1:19" ht="24">
      <c r="C6" s="67" t="s">
        <v>1</v>
      </c>
      <c r="D6" s="68"/>
      <c r="E6" s="69"/>
    </row>
    <row r="7" spans="1:19">
      <c r="C7" s="59" t="s">
        <v>2</v>
      </c>
      <c r="D7" s="60"/>
      <c r="E7" s="24">
        <v>1000</v>
      </c>
    </row>
    <row r="8" spans="1:19">
      <c r="C8" s="59" t="s">
        <v>3</v>
      </c>
      <c r="D8" s="60"/>
      <c r="E8" s="43">
        <v>0.01</v>
      </c>
    </row>
    <row r="9" spans="1:19">
      <c r="C9" s="61" t="s">
        <v>4</v>
      </c>
      <c r="D9" s="62"/>
      <c r="E9" s="29" cm="1">
        <f t="array" ref="E9">salario*30%</f>
        <v>300</v>
      </c>
    </row>
    <row r="10" spans="1:19">
      <c r="F10" s="36"/>
    </row>
    <row r="11" spans="1:19" ht="46.5">
      <c r="C11" s="64" t="s">
        <v>5</v>
      </c>
      <c r="D11" s="65"/>
      <c r="E11" s="66"/>
    </row>
    <row r="12" spans="1:19">
      <c r="C12" s="53" t="s">
        <v>6</v>
      </c>
      <c r="D12" s="54"/>
      <c r="E12" s="24">
        <v>200</v>
      </c>
    </row>
    <row r="13" spans="1:19">
      <c r="B13" s="8">
        <v>2</v>
      </c>
      <c r="C13" s="53" t="s">
        <v>7</v>
      </c>
      <c r="D13" s="54"/>
      <c r="E13" s="4">
        <v>3</v>
      </c>
    </row>
    <row r="14" spans="1:19">
      <c r="B14" s="8">
        <v>5</v>
      </c>
      <c r="C14" s="53" t="s">
        <v>8</v>
      </c>
      <c r="D14" s="54"/>
      <c r="E14" s="5">
        <v>0.01</v>
      </c>
    </row>
    <row r="15" spans="1:19">
      <c r="B15" s="8">
        <v>10</v>
      </c>
      <c r="C15" s="55" t="s">
        <v>9</v>
      </c>
      <c r="D15" s="56"/>
      <c r="E15" s="35" cm="1">
        <f t="array" ref="E15">FV(rendimento_invest,tempo_anos*12,aporte*-1)</f>
        <v>8615.3756718316199</v>
      </c>
    </row>
    <row r="16" spans="1:19">
      <c r="B16" s="8">
        <v>20</v>
      </c>
      <c r="C16" s="57" t="s">
        <v>10</v>
      </c>
      <c r="D16" s="58"/>
      <c r="E16" s="7">
        <f>E15*1%</f>
        <v>86.153756718316203</v>
      </c>
    </row>
    <row r="17" spans="2:5">
      <c r="B17" s="8">
        <v>30</v>
      </c>
    </row>
    <row r="18" spans="2:5"/>
    <row r="19" spans="2:5" ht="36">
      <c r="C19" s="9" t="s">
        <v>11</v>
      </c>
      <c r="D19" s="28"/>
      <c r="E19" s="10" t="s">
        <v>12</v>
      </c>
    </row>
    <row r="20" spans="2:5">
      <c r="C20" s="2" t="s">
        <v>13</v>
      </c>
      <c r="D20" s="30">
        <f>FV($E$14,$B13*12,$E$12*-1)</f>
        <v>5394.6929706382998</v>
      </c>
      <c r="E20" s="6" cm="1">
        <f t="array" ref="E20">D20*rendimento_carteira</f>
        <v>53.946929706383003</v>
      </c>
    </row>
    <row r="21" spans="2:5">
      <c r="C21" s="2" t="s">
        <v>14</v>
      </c>
      <c r="D21" s="30">
        <f>FV($E$14,$B14*12,$E$12*-1)</f>
        <v>16333.933971281826</v>
      </c>
      <c r="E21" s="6" cm="1">
        <f t="array" ref="E21">D21*rendimento_carteira</f>
        <v>163.33933971281826</v>
      </c>
    </row>
    <row r="22" spans="2:5">
      <c r="C22" s="2" t="s">
        <v>15</v>
      </c>
      <c r="D22" s="30">
        <f>FV($E$14,$B15*12,$E$12*-1)</f>
        <v>46007.7378914734</v>
      </c>
      <c r="E22" s="6" cm="1">
        <f t="array" ref="E22">D22*rendimento_carteira</f>
        <v>460.07737891473403</v>
      </c>
    </row>
    <row r="23" spans="2:5">
      <c r="C23" s="2" t="s">
        <v>16</v>
      </c>
      <c r="D23" s="30">
        <f>FV($E$14,$B16*12,$E$12*-1)</f>
        <v>197851.0730774726</v>
      </c>
      <c r="E23" s="6" cm="1">
        <f t="array" ref="E23">D23*rendimento_carteira</f>
        <v>1978.510730774726</v>
      </c>
    </row>
    <row r="24" spans="2:5">
      <c r="C24" s="3" t="s">
        <v>17</v>
      </c>
      <c r="D24" s="31">
        <f>FV($E$14,$B17*12,$E$12*-1)</f>
        <v>698992.82655370131</v>
      </c>
      <c r="E24" s="7" cm="1">
        <f t="array" ref="E24">D24*rendimento_carteira</f>
        <v>6989.9282655370134</v>
      </c>
    </row>
    <row r="25" spans="2:5"/>
    <row r="26" spans="2:5"/>
    <row r="27" spans="2:5"/>
    <row r="28" spans="2:5"/>
    <row r="29" spans="2:5"/>
    <row r="30" spans="2:5">
      <c r="C30" s="70" t="s">
        <v>18</v>
      </c>
      <c r="D30" s="71"/>
      <c r="E30" s="72" t="s">
        <v>19</v>
      </c>
    </row>
    <row r="31" spans="2:5">
      <c r="C31" s="51" t="s">
        <v>20</v>
      </c>
      <c r="D31" s="52"/>
      <c r="E31" s="44" cm="1">
        <f t="array" ref="E31">aporte</f>
        <v>200</v>
      </c>
    </row>
    <row r="32" spans="2:5">
      <c r="C32" s="11"/>
      <c r="D32" s="11"/>
      <c r="E32" s="11"/>
    </row>
    <row r="33" spans="3:5">
      <c r="C33" s="48" t="s">
        <v>21</v>
      </c>
      <c r="D33" s="49" t="s">
        <v>22</v>
      </c>
      <c r="E33" s="50" t="s">
        <v>23</v>
      </c>
    </row>
    <row r="34" spans="3:5">
      <c r="C34" s="32" t="s">
        <v>24</v>
      </c>
      <c r="D34" s="33">
        <f>VLOOKUP($E$30&amp;"-"&amp;C34,'Tabela de Apoio'!B4:E21,4,FALSE)</f>
        <v>0.32</v>
      </c>
      <c r="E34" s="34" cm="1">
        <f t="array" ref="E34">aporte*D34</f>
        <v>64</v>
      </c>
    </row>
    <row r="35" spans="3:5">
      <c r="C35" s="32" t="s">
        <v>25</v>
      </c>
      <c r="D35" s="33">
        <f>VLOOKUP($E$30&amp;"-"&amp;C35,'Tabela de Apoio'!B5:E22,4,FALSE)</f>
        <v>0.35</v>
      </c>
      <c r="E35" s="34" cm="1">
        <f t="array" ref="E35">aporte*D35</f>
        <v>70</v>
      </c>
    </row>
    <row r="36" spans="3:5">
      <c r="C36" s="32" t="s">
        <v>26</v>
      </c>
      <c r="D36" s="33">
        <f>VLOOKUP($E$30&amp;"-"&amp;C36,'Tabela de Apoio'!B6:E23,4,FALSE)</f>
        <v>0.08</v>
      </c>
      <c r="E36" s="34" cm="1">
        <f t="array" ref="E36">aporte*D36</f>
        <v>16</v>
      </c>
    </row>
    <row r="37" spans="3:5">
      <c r="C37" s="32" t="s">
        <v>27</v>
      </c>
      <c r="D37" s="33">
        <f>VLOOKUP($E$30&amp;"-"&amp;C37,'Tabela de Apoio'!B7:E24,4,FALSE)</f>
        <v>0.05</v>
      </c>
      <c r="E37" s="34" cm="1">
        <f t="array" ref="E37">aporte*D37</f>
        <v>10</v>
      </c>
    </row>
    <row r="38" spans="3:5">
      <c r="C38" s="32" t="s">
        <v>28</v>
      </c>
      <c r="D38" s="33">
        <f>VLOOKUP($E$30&amp;"-"&amp;C38,'Tabela de Apoio'!B8:E25,4,FALSE)</f>
        <v>0.1</v>
      </c>
      <c r="E38" s="34" cm="1">
        <f t="array" ref="E38">aporte*D38</f>
        <v>20</v>
      </c>
    </row>
    <row r="39" spans="3:5">
      <c r="C39" s="32" t="s">
        <v>29</v>
      </c>
      <c r="D39" s="33">
        <f>VLOOKUP($E$30&amp;"-"&amp;C39,'Tabela de Apoio'!B9:E26,4,FALSE)</f>
        <v>0.1</v>
      </c>
      <c r="E39" s="34" cm="1">
        <f t="array" ref="E39">aporte*D39</f>
        <v>20</v>
      </c>
    </row>
    <row r="40" spans="3:5">
      <c r="C40" s="25"/>
      <c r="D40" s="26"/>
      <c r="E40" s="27"/>
    </row>
    <row r="41" spans="3:5"/>
    <row r="42" spans="3:5"/>
  </sheetData>
  <sheetProtection sheet="1" objects="1" scenarios="1"/>
  <protectedRanges>
    <protectedRange sqref="E7:E8" name="Range1"/>
    <protectedRange sqref="E12:E14" name="Range2"/>
    <protectedRange sqref="E30" name="Range3"/>
  </protectedRanges>
  <mergeCells count="13">
    <mergeCell ref="C11:E11"/>
    <mergeCell ref="C12:D12"/>
    <mergeCell ref="C6:E6"/>
    <mergeCell ref="C7:D7"/>
    <mergeCell ref="C8:D8"/>
    <mergeCell ref="C9:D9"/>
    <mergeCell ref="A1:S1"/>
    <mergeCell ref="C30:D30"/>
    <mergeCell ref="C31:D31"/>
    <mergeCell ref="C13:D13"/>
    <mergeCell ref="C14:D14"/>
    <mergeCell ref="C15:D15"/>
    <mergeCell ref="C16:D16"/>
  </mergeCells>
  <dataValidations count="1">
    <dataValidation type="list" allowBlank="1" showInputMessage="1" showErrorMessage="1" sqref="E30" xr:uid="{6D3CA760-15C6-4205-974E-038AF65D26A7}">
      <formula1>"Agressivo,Moderado,Conservador"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8A26-2C0E-4CD6-8604-4B1F5B0D58A0}">
  <dimension ref="B3:J34"/>
  <sheetViews>
    <sheetView workbookViewId="0">
      <selection activeCell="O5" sqref="O5"/>
    </sheetView>
  </sheetViews>
  <sheetFormatPr defaultRowHeight="15"/>
  <cols>
    <col min="2" max="2" width="27" bestFit="1" customWidth="1"/>
    <col min="3" max="3" width="10.5703125" bestFit="1" customWidth="1"/>
    <col min="4" max="4" width="16.5703125" bestFit="1" customWidth="1"/>
    <col min="8" max="8" width="16.5703125" bestFit="1" customWidth="1"/>
    <col min="9" max="9" width="15.42578125" bestFit="1" customWidth="1"/>
    <col min="10" max="10" width="17.28515625" customWidth="1"/>
    <col min="12" max="12" width="17.42578125" bestFit="1" customWidth="1"/>
    <col min="13" max="13" width="15.42578125" bestFit="1" customWidth="1"/>
  </cols>
  <sheetData>
    <row r="3" spans="2:10">
      <c r="B3" s="12" t="s">
        <v>30</v>
      </c>
      <c r="C3" s="13" t="s">
        <v>18</v>
      </c>
      <c r="D3" s="13" t="s">
        <v>21</v>
      </c>
      <c r="E3" s="14" t="s">
        <v>31</v>
      </c>
      <c r="H3" t="s">
        <v>32</v>
      </c>
    </row>
    <row r="4" spans="2:10">
      <c r="B4" s="15" t="s">
        <v>33</v>
      </c>
      <c r="C4" s="16" t="s">
        <v>34</v>
      </c>
      <c r="D4" s="16" t="s">
        <v>24</v>
      </c>
      <c r="E4" s="17">
        <v>0.3</v>
      </c>
      <c r="H4" s="46" t="s">
        <v>35</v>
      </c>
      <c r="I4" s="47" t="s">
        <v>36</v>
      </c>
      <c r="J4" s="47" t="s">
        <v>36</v>
      </c>
    </row>
    <row r="5" spans="2:10">
      <c r="B5" s="15" t="s">
        <v>37</v>
      </c>
      <c r="C5" s="16" t="s">
        <v>34</v>
      </c>
      <c r="D5" s="16" t="s">
        <v>25</v>
      </c>
      <c r="E5" s="17">
        <v>0.5</v>
      </c>
      <c r="H5" s="37">
        <v>1</v>
      </c>
      <c r="I5" s="45" cm="1">
        <f t="array" ref="I5">FV(rendimento_invest,H5*12,aporte*-1)</f>
        <v>2536.5006026393953</v>
      </c>
      <c r="J5" s="45" cm="1">
        <f t="array" ref="J5">FV(rendimento_invest,H5*12,sugestao_invest*-1)</f>
        <v>3804.7509039590927</v>
      </c>
    </row>
    <row r="6" spans="2:10">
      <c r="B6" s="15" t="s">
        <v>38</v>
      </c>
      <c r="C6" s="16" t="s">
        <v>34</v>
      </c>
      <c r="D6" s="16" t="s">
        <v>26</v>
      </c>
      <c r="E6" s="17">
        <v>0.1</v>
      </c>
      <c r="H6" s="1">
        <v>2</v>
      </c>
      <c r="I6" s="38" cm="1">
        <f t="array" ref="I6">FV(rendimento_invest,H6*12,aporte*-1)</f>
        <v>5394.6929706382998</v>
      </c>
      <c r="J6" s="38" cm="1">
        <f t="array" ref="J6">FV(rendimento_invest,H6*12,sugestao_invest*-1)</f>
        <v>8092.0394559574497</v>
      </c>
    </row>
    <row r="7" spans="2:10">
      <c r="B7" s="15" t="s">
        <v>39</v>
      </c>
      <c r="C7" s="16" t="s">
        <v>34</v>
      </c>
      <c r="D7" s="16" t="s">
        <v>27</v>
      </c>
      <c r="E7" s="17">
        <v>0.1</v>
      </c>
      <c r="H7" s="1">
        <v>3</v>
      </c>
      <c r="I7" s="38" cm="1">
        <f t="array" ref="I7">FV(rendimento_invest,H7*12,aporte*-1)</f>
        <v>8615.3756718316199</v>
      </c>
      <c r="J7" s="38" cm="1">
        <f t="array" ref="J7">FV(rendimento_invest,H7*12,sugestao_invest*-1)</f>
        <v>12923.063507747431</v>
      </c>
    </row>
    <row r="8" spans="2:10">
      <c r="B8" s="15" t="s">
        <v>40</v>
      </c>
      <c r="C8" s="16" t="s">
        <v>34</v>
      </c>
      <c r="D8" s="16" t="s">
        <v>28</v>
      </c>
      <c r="E8" s="17">
        <v>0</v>
      </c>
      <c r="H8" s="1">
        <v>4</v>
      </c>
      <c r="I8" s="38" cm="1">
        <f t="array" ref="I8">FV(rendimento_invest,H8*12,aporte*-1)</f>
        <v>12244.521553649305</v>
      </c>
      <c r="J8" s="38" cm="1">
        <f t="array" ref="J8">FV(rendimento_invest,H8*12,sugestao_invest*-1)</f>
        <v>18366.782330473958</v>
      </c>
    </row>
    <row r="9" spans="2:10">
      <c r="B9" s="15" t="s">
        <v>41</v>
      </c>
      <c r="C9" s="16" t="s">
        <v>34</v>
      </c>
      <c r="D9" s="16" t="s">
        <v>29</v>
      </c>
      <c r="E9" s="17">
        <v>0</v>
      </c>
      <c r="H9" s="1">
        <v>5</v>
      </c>
      <c r="I9" s="38" cm="1">
        <f t="array" ref="I9">FV(rendimento_invest,H9*12,aporte*-1)</f>
        <v>16333.933971281826</v>
      </c>
      <c r="J9" s="38" cm="1">
        <f t="array" ref="J9">FV(rendimento_invest,H9*12,sugestao_invest*-1)</f>
        <v>24500.900956922738</v>
      </c>
    </row>
    <row r="10" spans="2:10">
      <c r="B10" s="15" t="s">
        <v>42</v>
      </c>
      <c r="C10" s="16" t="s">
        <v>19</v>
      </c>
      <c r="D10" s="16" t="s">
        <v>24</v>
      </c>
      <c r="E10" s="17">
        <v>0.32</v>
      </c>
      <c r="H10" s="1">
        <v>6</v>
      </c>
      <c r="I10" s="38" cm="1">
        <f t="array" ref="I10">FV(rendimento_invest,H10*12,aporte*-1)</f>
        <v>20941.986242002655</v>
      </c>
      <c r="J10" s="38" cm="1">
        <f t="array" ref="J10">FV(rendimento_invest,H10*12,sugestao_invest*-1)</f>
        <v>31412.979363003979</v>
      </c>
    </row>
    <row r="11" spans="2:10">
      <c r="B11" s="21" t="s">
        <v>43</v>
      </c>
      <c r="C11" s="22" t="s">
        <v>19</v>
      </c>
      <c r="D11" s="22" t="s">
        <v>25</v>
      </c>
      <c r="E11" s="23">
        <v>0.35</v>
      </c>
      <c r="H11" s="1">
        <v>7</v>
      </c>
      <c r="I11" s="38" cm="1">
        <f t="array" ref="I11">FV(rendimento_invest,H11*12,aporte*-1)</f>
        <v>26134.454880807334</v>
      </c>
      <c r="J11" s="38" cm="1">
        <f t="array" ref="J11">FV(rendimento_invest,H11*12,sugestao_invest*-1)</f>
        <v>39201.682321211003</v>
      </c>
    </row>
    <row r="12" spans="2:10">
      <c r="B12" s="15" t="s">
        <v>44</v>
      </c>
      <c r="C12" s="16" t="s">
        <v>19</v>
      </c>
      <c r="D12" s="16" t="s">
        <v>26</v>
      </c>
      <c r="E12" s="17">
        <v>0.08</v>
      </c>
      <c r="H12" s="1">
        <v>8</v>
      </c>
      <c r="I12" s="38" cm="1">
        <f t="array" ref="I12">FV(rendimento_invest,H12*12,aporte*-1)</f>
        <v>31985.458511187728</v>
      </c>
      <c r="J12" s="38" cm="1">
        <f t="array" ref="J12">FV(rendimento_invest,H12*12,sugestao_invest*-1)</f>
        <v>47978.187766781593</v>
      </c>
    </row>
    <row r="13" spans="2:10">
      <c r="B13" s="15" t="s">
        <v>45</v>
      </c>
      <c r="C13" s="16" t="s">
        <v>19</v>
      </c>
      <c r="D13" s="16" t="s">
        <v>27</v>
      </c>
      <c r="E13" s="17">
        <v>0.05</v>
      </c>
      <c r="H13" s="1">
        <v>9</v>
      </c>
      <c r="I13" s="38" cm="1">
        <f t="array" ref="I13">FV(rendimento_invest,H13*12,aporte*-1)</f>
        <v>38578.515853293378</v>
      </c>
      <c r="J13" s="38" cm="1">
        <f t="array" ref="J13">FV(rendimento_invest,H13*12,sugestao_invest*-1)</f>
        <v>57867.773779940071</v>
      </c>
    </row>
    <row r="14" spans="2:10">
      <c r="B14" s="15" t="s">
        <v>46</v>
      </c>
      <c r="C14" s="16" t="s">
        <v>19</v>
      </c>
      <c r="D14" s="16" t="s">
        <v>28</v>
      </c>
      <c r="E14" s="17">
        <v>0.1</v>
      </c>
      <c r="H14" s="1">
        <v>10</v>
      </c>
      <c r="I14" s="38" cm="1">
        <f t="array" ref="I14">FV(rendimento_invest,H14*12,aporte*-1)</f>
        <v>46007.7378914734</v>
      </c>
      <c r="J14" s="38" cm="1">
        <f t="array" ref="J14">FV(rendimento_invest,H14*12,sugestao_invest*-1)</f>
        <v>69011.6068372101</v>
      </c>
    </row>
    <row r="15" spans="2:10">
      <c r="B15" s="15" t="s">
        <v>47</v>
      </c>
      <c r="C15" s="16" t="s">
        <v>19</v>
      </c>
      <c r="D15" s="16" t="s">
        <v>29</v>
      </c>
      <c r="E15" s="17">
        <v>0.1</v>
      </c>
      <c r="H15" s="1">
        <v>11</v>
      </c>
      <c r="I15" s="38" cm="1">
        <f t="array" ref="I15">FV(rendimento_invest,H15*12,aporte*-1)</f>
        <v>54379.171238502669</v>
      </c>
      <c r="J15" s="38" cm="1">
        <f t="array" ref="J15">FV(rendimento_invest,H15*12,sugestao_invest*-1)</f>
        <v>81568.756857754008</v>
      </c>
    </row>
    <row r="16" spans="2:10">
      <c r="B16" s="15" t="s">
        <v>48</v>
      </c>
      <c r="C16" s="16" t="s">
        <v>49</v>
      </c>
      <c r="D16" s="16" t="s">
        <v>24</v>
      </c>
      <c r="E16" s="17">
        <v>0.5</v>
      </c>
      <c r="H16" s="1">
        <v>12</v>
      </c>
      <c r="I16" s="38" cm="1">
        <f t="array" ref="I16">FV(rendimento_invest,H16*12,aporte*-1)</f>
        <v>63812.311872016719</v>
      </c>
      <c r="J16" s="38" cm="1">
        <f t="array" ref="J16">FV(rendimento_invest,H16*12,sugestao_invest*-1)</f>
        <v>95718.467808025089</v>
      </c>
    </row>
    <row r="17" spans="2:10">
      <c r="B17" s="15" t="s">
        <v>50</v>
      </c>
      <c r="C17" s="16" t="s">
        <v>49</v>
      </c>
      <c r="D17" s="16" t="s">
        <v>25</v>
      </c>
      <c r="E17" s="17">
        <v>0.1</v>
      </c>
      <c r="H17" s="1">
        <v>13</v>
      </c>
      <c r="I17" s="38" cm="1">
        <f t="array" ref="I17">FV(rendimento_invest,H17*12,aporte*-1)</f>
        <v>74441.810850615278</v>
      </c>
      <c r="J17" s="38" cm="1">
        <f t="array" ref="J17">FV(rendimento_invest,H17*12,sugestao_invest*-1)</f>
        <v>111662.71627592291</v>
      </c>
    </row>
    <row r="18" spans="2:10">
      <c r="B18" s="15" t="s">
        <v>51</v>
      </c>
      <c r="C18" s="16" t="s">
        <v>49</v>
      </c>
      <c r="D18" s="16" t="s">
        <v>26</v>
      </c>
      <c r="E18" s="17">
        <v>0.05</v>
      </c>
      <c r="H18" s="1">
        <v>14</v>
      </c>
      <c r="I18" s="38" cm="1">
        <f t="array" ref="I18">FV(rendimento_invest,H18*12,aporte*-1)</f>
        <v>86419.396357462378</v>
      </c>
      <c r="J18" s="38" cm="1">
        <f t="array" ref="J18">FV(rendimento_invest,H18*12,sugestao_invest*-1)</f>
        <v>129629.09453619357</v>
      </c>
    </row>
    <row r="19" spans="2:10">
      <c r="B19" s="15" t="s">
        <v>52</v>
      </c>
      <c r="C19" s="16" t="s">
        <v>49</v>
      </c>
      <c r="D19" s="16" t="s">
        <v>27</v>
      </c>
      <c r="E19" s="17">
        <v>0.05</v>
      </c>
      <c r="H19" s="1">
        <v>15</v>
      </c>
      <c r="I19" s="38" cm="1">
        <f t="array" ref="I19">FV(rendimento_invest,H19*12,aporte*-1)</f>
        <v>99916.039507123598</v>
      </c>
      <c r="J19" s="38" cm="1">
        <f t="array" ref="J19">FV(rendimento_invest,H19*12,sugestao_invest*-1)</f>
        <v>149874.0592606854</v>
      </c>
    </row>
    <row r="20" spans="2:10">
      <c r="B20" s="15" t="s">
        <v>53</v>
      </c>
      <c r="C20" s="16" t="s">
        <v>49</v>
      </c>
      <c r="D20" s="16" t="s">
        <v>28</v>
      </c>
      <c r="E20" s="17">
        <v>0.2</v>
      </c>
      <c r="H20" s="1">
        <v>16</v>
      </c>
      <c r="I20" s="38" cm="1">
        <f t="array" ref="I20">FV(rendimento_invest,H20*12,aporte*-1)</f>
        <v>115124.39483092102</v>
      </c>
      <c r="J20" s="38" cm="1">
        <f t="array" ref="J20">FV(rendimento_invest,H20*12,sugestao_invest*-1)</f>
        <v>172686.59224638154</v>
      </c>
    </row>
    <row r="21" spans="2:10">
      <c r="B21" s="18" t="s">
        <v>54</v>
      </c>
      <c r="C21" s="19" t="s">
        <v>49</v>
      </c>
      <c r="D21" s="19" t="s">
        <v>29</v>
      </c>
      <c r="E21" s="20">
        <v>0.1</v>
      </c>
      <c r="H21" s="1">
        <v>17</v>
      </c>
      <c r="I21" s="38" cm="1">
        <f t="array" ref="I21">FV(rendimento_invest,H21*12,aporte*-1)</f>
        <v>132261.55027691677</v>
      </c>
      <c r="J21" s="38" cm="1">
        <f t="array" ref="J21">FV(rendimento_invest,H21*12,sugestao_invest*-1)</f>
        <v>198392.32541537515</v>
      </c>
    </row>
    <row r="22" spans="2:10">
      <c r="H22" s="1">
        <v>18</v>
      </c>
      <c r="I22" s="38" cm="1">
        <f t="array" ref="I22">FV(rendimento_invest,H22*12,aporte*-1)</f>
        <v>151572.12597872721</v>
      </c>
      <c r="J22" s="38" cm="1">
        <f t="array" ref="J22">FV(rendimento_invest,H22*12,sugestao_invest*-1)</f>
        <v>227358.18896809084</v>
      </c>
    </row>
    <row r="23" spans="2:10">
      <c r="H23" s="1">
        <v>19</v>
      </c>
      <c r="I23" s="38" cm="1">
        <f t="array" ref="I23">FV(rendimento_invest,H23*12,aporte*-1)</f>
        <v>173331.76602578539</v>
      </c>
      <c r="J23" s="38" cm="1">
        <f t="array" ref="J23">FV(rendimento_invest,H23*12,sugestao_invest*-1)</f>
        <v>259997.64903867809</v>
      </c>
    </row>
    <row r="24" spans="2:10">
      <c r="H24" s="1">
        <v>20</v>
      </c>
      <c r="I24" s="38" cm="1">
        <f t="array" ref="I24">FV(rendimento_invest,H24*12,aporte*-1)</f>
        <v>197851.0730774726</v>
      </c>
      <c r="J24" s="38" cm="1">
        <f t="array" ref="J24">FV(rendimento_invest,H24*12,sugestao_invest*-1)</f>
        <v>296776.60961620888</v>
      </c>
    </row>
    <row r="25" spans="2:10">
      <c r="H25" s="1">
        <v>21</v>
      </c>
      <c r="I25" s="38" cm="1">
        <f t="array" ref="I25">FV(rendimento_invest,H25*12,aporte*-1)</f>
        <v>225480.04198480502</v>
      </c>
      <c r="J25" s="38" cm="1">
        <f t="array" ref="J25">FV(rendimento_invest,H25*12,sugestao_invest*-1)</f>
        <v>338220.06297720753</v>
      </c>
    </row>
    <row r="26" spans="2:10">
      <c r="H26" s="1">
        <v>22</v>
      </c>
      <c r="I26" s="38" cm="1">
        <f t="array" ref="I26">FV(rendimento_invest,H26*12,aporte*-1)</f>
        <v>256613.05570632516</v>
      </c>
      <c r="J26" s="38" cm="1">
        <f t="array" ref="J26">FV(rendimento_invest,H26*12,sugestao_invest*-1)</f>
        <v>384919.58355948777</v>
      </c>
    </row>
    <row r="27" spans="2:10">
      <c r="H27" s="1">
        <v>23</v>
      </c>
      <c r="I27" s="38" cm="1">
        <f t="array" ref="I27">FV(rendimento_invest,H27*12,aporte*-1)</f>
        <v>291694.51483117609</v>
      </c>
      <c r="J27" s="38" cm="1">
        <f t="array" ref="J27">FV(rendimento_invest,H27*12,sugestao_invest*-1)</f>
        <v>437541.77224676416</v>
      </c>
    </row>
    <row r="28" spans="2:10">
      <c r="H28" s="1">
        <v>24</v>
      </c>
      <c r="I28" s="38" cm="1">
        <f t="array" ref="I28">FV(rendimento_invest,H28*12,aporte*-1)</f>
        <v>331225.1810666098</v>
      </c>
      <c r="J28" s="38" cm="1">
        <f t="array" ref="J28">FV(rendimento_invest,H28*12,sugestao_invest*-1)</f>
        <v>496837.77159991465</v>
      </c>
    </row>
    <row r="29" spans="2:10">
      <c r="H29" s="1">
        <v>25</v>
      </c>
      <c r="I29" s="38" cm="1">
        <f t="array" ref="I29">FV(rendimento_invest,H29*12,aporte*-1)</f>
        <v>375769.32523848908</v>
      </c>
      <c r="J29" s="38" cm="1">
        <f t="array" ref="J29">FV(rendimento_invest,H29*12,sugestao_invest*-1)</f>
        <v>563653.98785773362</v>
      </c>
    </row>
    <row r="30" spans="2:10">
      <c r="H30" s="1">
        <v>26</v>
      </c>
      <c r="I30" s="38" cm="1">
        <f t="array" ref="I30">FV(rendimento_invest,H30*12,aporte*-1)</f>
        <v>425962.78183716995</v>
      </c>
      <c r="J30" s="38" cm="1">
        <f t="array" ref="J30">FV(rendimento_invest,H30*12,sugestao_invest*-1)</f>
        <v>638944.1727557549</v>
      </c>
    </row>
    <row r="31" spans="2:10">
      <c r="H31" s="1">
        <v>27</v>
      </c>
      <c r="I31" s="38" cm="1">
        <f t="array" ref="I31">FV(rendimento_invest,H31*12,aporte*-1)</f>
        <v>482522.02508140606</v>
      </c>
      <c r="J31" s="38" cm="1">
        <f t="array" ref="J31">FV(rendimento_invest,H31*12,sugestao_invest*-1)</f>
        <v>723783.03762210917</v>
      </c>
    </row>
    <row r="32" spans="2:10">
      <c r="H32" s="1">
        <v>28</v>
      </c>
      <c r="I32" s="38" cm="1">
        <f t="array" ref="I32">FV(rendimento_invest,H32*12,aporte*-1)</f>
        <v>546254.39605433389</v>
      </c>
      <c r="J32" s="38" cm="1">
        <f t="array" ref="J32">FV(rendimento_invest,H32*12,sugestao_invest*-1)</f>
        <v>819381.59408150089</v>
      </c>
    </row>
    <row r="33" spans="8:10">
      <c r="H33" s="41">
        <v>29</v>
      </c>
      <c r="I33" s="42" cm="1">
        <f t="array" ref="I33">FV(rendimento_invest,H33*12,aporte*-1)</f>
        <v>618069.6268962851</v>
      </c>
      <c r="J33" s="38" cm="1">
        <f t="array" ref="J33">FV(rendimento_invest,H33*12,sugestao_invest*-1)</f>
        <v>927104.4403444276</v>
      </c>
    </row>
    <row r="34" spans="8:10">
      <c r="H34" s="39">
        <v>30</v>
      </c>
      <c r="I34" s="40" cm="1">
        <f t="array" ref="I34">FV(rendimento_invest,H34*12,aporte*-1)</f>
        <v>698992.82655370131</v>
      </c>
      <c r="J34" s="40" cm="1">
        <f t="array" ref="J34">FV(rendimento_invest,H34*12,sugestao_invest*-1)</f>
        <v>1048489.2398305519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2025-12-19T21:00:00Z</dcterms:created>
  <dcterms:modified xsi:type="dcterms:W3CDTF">2025-12-23T20:58:42Z</dcterms:modified>
  <cp:category/>
  <cp:contentStatus/>
</cp:coreProperties>
</file>